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ncs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Item</t>
        </is>
      </c>
      <c r="C1" t="inlineStr">
        <is>
          <t>Qty</t>
        </is>
      </c>
      <c r="E1" t="inlineStr">
        <is>
          <t>Formula</t>
        </is>
      </c>
      <c r="F1" t="inlineStr">
        <is>
          <t>Result</t>
        </is>
      </c>
    </row>
    <row r="2">
      <c r="A2" t="inlineStr">
        <is>
          <t>North</t>
        </is>
      </c>
      <c r="B2" t="inlineStr">
        <is>
          <t>Apple</t>
        </is>
      </c>
      <c r="C2">
        <v>10</v>
      </c>
      <c r="E2" t="inlineStr">
        <is>
          <t>SUMIFS North</t>
        </is>
      </c>
      <c r="F2">
        <f>SUMIFS(C2:C6,A2:A6,"North")</f>
        <v>0</v>
      </c>
    </row>
    <row r="3">
      <c r="A3" t="inlineStr">
        <is>
          <t>South</t>
        </is>
      </c>
      <c r="B3" t="inlineStr">
        <is>
          <t>Apple</t>
        </is>
      </c>
      <c r="C3">
        <v>20</v>
      </c>
      <c r="E3" t="inlineStr">
        <is>
          <t>INDEX+MATCH</t>
        </is>
      </c>
      <c r="F3">
        <f>INDEX(B2:B6,MATCH(30,C2:C6,0))</f>
        <v>0</v>
      </c>
    </row>
    <row r="4">
      <c r="A4" t="inlineStr">
        <is>
          <t>North</t>
        </is>
      </c>
      <c r="B4" t="inlineStr">
        <is>
          <t>Pear</t>
        </is>
      </c>
      <c r="C4">
        <v>30</v>
      </c>
      <c r="E4" t="inlineStr">
        <is>
          <t>MEDIAN</t>
        </is>
      </c>
      <c r="F4">
        <f>MEDIAN(C2:C6)</f>
        <v>0</v>
      </c>
    </row>
    <row r="5">
      <c r="A5" t="inlineStr">
        <is>
          <t>South</t>
        </is>
      </c>
      <c r="B5" t="inlineStr">
        <is>
          <t>Pear</t>
        </is>
      </c>
      <c r="C5">
        <v>40</v>
      </c>
      <c r="E5" t="inlineStr">
        <is>
          <t>XLOOKUP</t>
        </is>
      </c>
      <c r="F5">
        <f>XLOOKUP(40,C2:C6,B2:B6)</f>
        <v>0</v>
      </c>
    </row>
    <row r="6">
      <c r="A6" t="inlineStr">
        <is>
          <t>North</t>
        </is>
      </c>
      <c r="B6" t="inlineStr">
        <is>
          <t>Fig</t>
        </is>
      </c>
      <c r="C6">
        <v>50</v>
      </c>
      <c r="E6" t="inlineStr">
        <is>
          <t>PMT</t>
        </is>
      </c>
      <c r="F6">
        <f>PMT(0.01,12,1000)</f>
        <v>0</v>
      </c>
    </row>
    <row r="7">
      <c r="E7" t="inlineStr">
        <is>
          <t>COUNTIFS</t>
        </is>
      </c>
      <c r="F7">
        <f>COUNTIFS(A2:A6,"North",C2:C6,"&gt;15")</f>
        <v>0</v>
      </c>
    </row>
    <row r="8">
      <c r="E8" t="inlineStr">
        <is>
          <t>TEXTJOIN</t>
        </is>
      </c>
      <c r="F8">
        <f>TEXTJOIN("/",TRUE,B2:B6)</f>
        <v>0</v>
      </c>
    </row>
    <row r="9">
      <c r="E9" t="inlineStr">
        <is>
          <t>STDEV</t>
        </is>
      </c>
      <c r="F9">
        <f>STDEV(C2:C6)</f>
        <v>0</v>
      </c>
    </row>
    <row r="10">
      <c r="E10" t="inlineStr">
        <is>
          <t>SUBSTITUTE</t>
        </is>
      </c>
      <c r="F10">
        <f>SUBSTITUTE("a-b","-","+")</f>
        <v>0</v>
      </c>
    </row>
  </sheetData>
</worksheet>
</file>